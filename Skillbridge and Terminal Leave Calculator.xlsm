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saf-my.dps.mil/personal/pedro_matos_rodriguez_1_us_af_mil/Documents/"/>
    </mc:Choice>
  </mc:AlternateContent>
  <xr:revisionPtr revIDLastSave="0" documentId="8_{00BF79F0-E1AB-45FB-94C7-DA905F523B99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Terminal Leave" sheetId="2" r:id="rId1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9" i="2" l="1"/>
  <c r="B8" i="2"/>
  <c r="B7" i="2"/>
  <c r="B6" i="2"/>
  <c r="B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TSgt Spaethe</author>
    <author>1087495805A</author>
  </authors>
  <commentList>
    <comment ref="C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IF YOU ARE RETIRING,  THIS DATE IS THE 30TH OR 31ST OF THE PRIOR MONTH!</t>
        </r>
      </text>
    </comment>
    <comment ref="A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If separating, permissive MUST be authorized on your Separation Orders!</t>
        </r>
      </text>
    </comment>
    <comment ref="C9" authorId="1" shapeId="0" xr:uid="{D15F5FA1-E9CA-416A-A9C5-5E2A5D236950}">
      <text>
        <r>
          <rPr>
            <b/>
            <sz val="9"/>
            <color indexed="81"/>
            <rFont val="Tahoma"/>
            <family val="2"/>
          </rPr>
          <t>Ensure terminal and  skillbridge total days do not go beyond 180 Days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<sst xmlns="http://schemas.openxmlformats.org/spreadsheetml/2006/main" count="13" uniqueCount="13">
  <si>
    <r>
      <rPr>
        <b/>
        <sz val="18"/>
        <color rgb="FFFF0000"/>
        <rFont val="Calibri"/>
        <family val="2"/>
        <scheme val="minor"/>
      </rPr>
      <t>(Fill in Yellow Blocks only!)</t>
    </r>
    <r>
      <rPr>
        <b/>
        <sz val="14"/>
        <color theme="1"/>
        <rFont val="Calibri"/>
        <family val="2"/>
        <scheme val="minor"/>
      </rPr>
      <t xml:space="preserve">
</t>
    </r>
    <r>
      <rPr>
        <b/>
        <u/>
        <sz val="14"/>
        <color theme="1"/>
        <rFont val="Calibri"/>
        <family val="2"/>
        <scheme val="minor"/>
      </rPr>
      <t>Current LES Month (based on any LES you are using)</t>
    </r>
  </si>
  <si>
    <t>Current Leave balance from your LES</t>
  </si>
  <si>
    <r>
      <rPr>
        <b/>
        <u/>
        <sz val="14"/>
        <color theme="1"/>
        <rFont val="Calibri"/>
        <family val="2"/>
        <scheme val="minor"/>
      </rPr>
      <t>Date of Separation</t>
    </r>
    <r>
      <rPr>
        <sz val="11"/>
        <color theme="1"/>
        <rFont val="Calibri"/>
        <family val="2"/>
        <scheme val="minor"/>
      </rPr>
      <t xml:space="preserve">
</t>
    </r>
    <r>
      <rPr>
        <i/>
        <sz val="9"/>
        <color theme="1"/>
        <rFont val="Calibri"/>
        <family val="2"/>
        <scheme val="minor"/>
      </rPr>
      <t xml:space="preserve">
</t>
    </r>
    <r>
      <rPr>
        <b/>
        <i/>
        <sz val="9"/>
        <color rgb="FFFF0000"/>
        <rFont val="Calibri"/>
        <family val="2"/>
        <scheme val="minor"/>
      </rPr>
      <t>(If you are retiring, this date is the FINAL day of the prior month, not the FIRST of your retirement month!)</t>
    </r>
  </si>
  <si>
    <t>TERMINAL LEAVE ALLOWED:</t>
  </si>
  <si>
    <t>Terminal Leave Dates:</t>
  </si>
  <si>
    <r>
      <t xml:space="preserve">IF AUTHORIZED PERMISSIVE,
</t>
    </r>
    <r>
      <rPr>
        <b/>
        <u/>
        <sz val="14"/>
        <color theme="1"/>
        <rFont val="Calibri"/>
        <family val="2"/>
        <scheme val="minor"/>
      </rPr>
      <t>Permissive leave Dates:</t>
    </r>
    <r>
      <rPr>
        <b/>
        <sz val="14"/>
        <color theme="1"/>
        <rFont val="Calibri"/>
        <family val="2"/>
        <scheme val="minor"/>
      </rPr>
      <t xml:space="preserve">
</t>
    </r>
    <r>
      <rPr>
        <b/>
        <i/>
        <sz val="12"/>
        <color theme="1"/>
        <rFont val="Calibri"/>
        <family val="2"/>
        <scheme val="minor"/>
      </rPr>
      <t>(based on 20 days authorized by CC)</t>
    </r>
  </si>
  <si>
    <t>Skillbridge Days:</t>
  </si>
  <si>
    <r>
      <t xml:space="preserve">IF AUTHORIZED PERMISSIVE,
</t>
    </r>
    <r>
      <rPr>
        <b/>
        <u/>
        <sz val="14"/>
        <color theme="1"/>
        <rFont val="Calibri"/>
        <family val="2"/>
        <scheme val="minor"/>
      </rPr>
      <t>Permissive leave Dates:</t>
    </r>
    <r>
      <rPr>
        <b/>
        <sz val="14"/>
        <color theme="1"/>
        <rFont val="Calibri"/>
        <family val="2"/>
        <scheme val="minor"/>
      </rPr>
      <t xml:space="preserve">
</t>
    </r>
    <r>
      <rPr>
        <b/>
        <i/>
        <sz val="12"/>
        <color theme="1"/>
        <rFont val="Calibri"/>
        <family val="2"/>
        <scheme val="minor"/>
      </rPr>
      <t>(based on 0 days authorized by CC)</t>
    </r>
  </si>
  <si>
    <r>
      <rPr>
        <b/>
        <u/>
        <sz val="14"/>
        <color theme="1"/>
        <rFont val="Calibri"/>
        <family val="2"/>
        <scheme val="minor"/>
      </rPr>
      <t xml:space="preserve">IF TAKING SKILLBRIDGE:
</t>
    </r>
    <r>
      <rPr>
        <b/>
        <sz val="14"/>
        <color rgb="FFFF0000"/>
        <rFont val="Calibri"/>
        <family val="2"/>
        <scheme val="minor"/>
      </rPr>
      <t xml:space="preserve">Ensure that you add terminal to your skillbridge total days it cannot go beyond 180 Days
</t>
    </r>
    <r>
      <rPr>
        <b/>
        <sz val="14"/>
        <color theme="1"/>
        <rFont val="Calibri"/>
        <family val="2"/>
        <scheme val="minor"/>
      </rPr>
      <t xml:space="preserve">Date range = (W/ PTDY- W/O PTDY)
</t>
    </r>
  </si>
  <si>
    <t>TERMINAL LEAVE and SKILLBRIDGE CALCULATOR</t>
  </si>
  <si>
    <t>Terminal + Skillbridge days :</t>
  </si>
  <si>
    <t xml:space="preserve">Service members pursuing DIB-aligned SkillBridge programs listed on the DoW SkillBridge website are now eligible for up to 180 days of program participation. </t>
  </si>
  <si>
    <t>Project Patriot Pipeline (P3) and Department of the Air Force SkillBridge (USAF and USSF)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</si>
</sst>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\ yyyy"/>
  </numFmts>
  <fonts count="15" x14ac:knownFonts="1">
    <font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u/>
      <sz val="20"/>
      <color rgb="FF92D050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32">
    <xf numFmtId="0" fontId="0" fillId="0" borderId="0" xfId="0"/>
    <xf numFmtId="0" fontId="0" fillId="4" borderId="0" xfId="0" applyFill="1"/>
    <xf numFmtId="14" fontId="5" fillId="5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>
      <alignment wrapText="1"/>
    </xf>
    <xf numFmtId="0" fontId="3" fillId="0" borderId="1" xfId="0" applyFont="1" applyBorder="1"/>
    <xf numFmtId="0" fontId="0" fillId="0" borderId="1" xfId="0" applyBorder="1" applyAlignment="1">
      <alignment wrapText="1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0" fillId="4" borderId="6" xfId="0" applyFill="1" applyBorder="1" applyAlignment="1">
      <alignment horizontal="center"/>
    </xf>
    <xf numFmtId="0" fontId="2" fillId="0" borderId="7" xfId="0" applyFont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5" fillId="4" borderId="7" xfId="0" applyFont="1" applyFill="1" applyBorder="1" applyAlignment="1">
      <alignment horizontal="center" vertical="center" wrapText="1"/>
    </xf>
    <xf numFmtId="1" fontId="4" fillId="2" borderId="9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64" fontId="4" fillId="5" borderId="1" xfId="0" applyNumberFormat="1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14" fillId="4" borderId="10" xfId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strike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777239</xdr:colOff>
      <xdr:row>4</xdr:row>
      <xdr:rowOff>177166</xdr:rowOff>
    </xdr:from>
    <xdr:to>
      <xdr:col>3</xdr:col>
      <xdr:colOff>1539239</xdr:colOff>
      <xdr:row>5</xdr:row>
      <xdr:rowOff>998843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55279" y="2966086"/>
          <a:ext cx="2438400" cy="201801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myfss.us.af.mil/USAFCommunity/s/knowledge-detail?pid=kA0Rw0000004u0PKAQ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63"/>
  <sheetViews>
    <sheetView tabSelected="1" topLeftCell="A4" zoomScaleNormal="100" workbookViewId="0">
      <selection activeCell="A3" sqref="A3"/>
    </sheetView>
  </sheetViews>
  <sheetFormatPr defaultRowHeight="14.5" x14ac:dyDescent="0.35"/>
  <cols>
    <col min="1" max="1" width="61.1796875" bestFit="1" customWidth="1"/>
    <col min="2" max="2" width="43.54296875" bestFit="1" customWidth="1"/>
    <col min="3" max="3" width="24.453125" customWidth="1"/>
    <col min="4" max="4" width="34.26953125" bestFit="1" customWidth="1"/>
    <col min="5" max="42" width="9.1796875" style="1"/>
  </cols>
  <sheetData>
    <row r="1" spans="1:4" x14ac:dyDescent="0.35">
      <c r="A1" s="22" t="s">
        <v>9</v>
      </c>
      <c r="B1" s="23"/>
      <c r="C1" s="23"/>
      <c r="D1" s="24"/>
    </row>
    <row r="2" spans="1:4" ht="15" thickBot="1" x14ac:dyDescent="0.4">
      <c r="A2" s="25"/>
      <c r="B2" s="26"/>
      <c r="C2" s="26"/>
      <c r="D2" s="27"/>
    </row>
    <row r="3" spans="1:4" ht="98" thickBot="1" x14ac:dyDescent="0.5">
      <c r="A3" s="3" t="s">
        <v>0</v>
      </c>
      <c r="B3" s="4" t="s">
        <v>1</v>
      </c>
      <c r="C3" s="5" t="s">
        <v>2</v>
      </c>
      <c r="D3" s="4" t="s">
        <v>3</v>
      </c>
    </row>
    <row r="4" spans="1:4" ht="94.5" customHeight="1" thickBot="1" x14ac:dyDescent="0.4">
      <c r="A4" s="16">
        <v>46204</v>
      </c>
      <c r="B4" s="15">
        <v>52</v>
      </c>
      <c r="C4" s="2">
        <v>46538</v>
      </c>
      <c r="D4" s="6">
        <v>77</v>
      </c>
    </row>
    <row r="5" spans="1:4" ht="94.5" customHeight="1" thickBot="1" x14ac:dyDescent="0.4">
      <c r="A5" s="7" t="s">
        <v>4</v>
      </c>
      <c r="B5" s="17" t="str">
        <f>TEXT(C4-ROUNDDOWN(D4,)+1,"MM/DD/YYYY")&amp;"  -  "&amp;TEXT(C4,"MM/DD/YYYY")</f>
        <v>03/16/2027  -  05/31/2027</v>
      </c>
      <c r="C5" s="28"/>
      <c r="D5" s="29"/>
    </row>
    <row r="6" spans="1:4" ht="94.5" customHeight="1" thickBot="1" x14ac:dyDescent="0.4">
      <c r="A6" s="8" t="s">
        <v>5</v>
      </c>
      <c r="B6" s="18" t="str">
        <f>TEXT(C4-ROUNDDOWN(D4,)-19,"MM/DD/YYYY")&amp;" "</f>
        <v xml:space="preserve">02/24/2027 </v>
      </c>
      <c r="C6" s="30"/>
      <c r="D6" s="31"/>
    </row>
    <row r="7" spans="1:4" ht="94.5" customHeight="1" thickBot="1" x14ac:dyDescent="0.4">
      <c r="A7" s="8" t="s">
        <v>7</v>
      </c>
      <c r="B7" s="18" t="str">
        <f>TEXT(C4-ROUNDDOWN(D4,)-0,"MM/DD/YYYY")&amp;" "</f>
        <v xml:space="preserve">03/15/2027 </v>
      </c>
      <c r="C7" s="12"/>
      <c r="D7" s="9"/>
    </row>
    <row r="8" spans="1:4" s="1" customFormat="1" ht="109.5" customHeight="1" thickBot="1" x14ac:dyDescent="0.4">
      <c r="A8" s="20" t="s">
        <v>8</v>
      </c>
      <c r="B8" s="19" t="str">
        <f>TEXT(B6-ROUNDDOWN(D8,),"MM/DD/YYYY")&amp;"  -  "&amp;TEXT(B7-ROUNDDOWN(D8,),"MM/DD/YYYY")</f>
        <v>11/14/2026  -  12/03/2026</v>
      </c>
      <c r="C8" s="11" t="s">
        <v>6</v>
      </c>
      <c r="D8" s="15">
        <v>102</v>
      </c>
    </row>
    <row r="9" spans="1:4" s="1" customFormat="1" ht="96" customHeight="1" thickBot="1" x14ac:dyDescent="0.4">
      <c r="A9" s="10" t="s">
        <v>11</v>
      </c>
      <c r="B9" s="21" t="s">
        <v>12</v>
      </c>
      <c r="C9" s="13" t="s">
        <v>10</v>
      </c>
      <c r="D9" s="14">
        <f>SUM(D4, D8)</f>
        <v>179</v>
      </c>
    </row>
    <row r="10" spans="1:4" s="1" customFormat="1" x14ac:dyDescent="0.35"/>
    <row r="11" spans="1:4" s="1" customFormat="1" x14ac:dyDescent="0.35"/>
    <row r="12" spans="1:4" s="1" customFormat="1" x14ac:dyDescent="0.35"/>
    <row r="13" spans="1:4" s="1" customFormat="1" x14ac:dyDescent="0.35"/>
    <row r="14" spans="1:4" s="1" customFormat="1" x14ac:dyDescent="0.35"/>
    <row r="15" spans="1:4" s="1" customFormat="1" x14ac:dyDescent="0.35"/>
    <row r="16" spans="1:4" s="1" customFormat="1" x14ac:dyDescent="0.35"/>
    <row r="17" s="1" customFormat="1" x14ac:dyDescent="0.35"/>
    <row r="18" s="1" customFormat="1" x14ac:dyDescent="0.35"/>
    <row r="19" s="1" customFormat="1" x14ac:dyDescent="0.35"/>
    <row r="20" s="1" customFormat="1" x14ac:dyDescent="0.35"/>
    <row r="21" s="1" customFormat="1" x14ac:dyDescent="0.35"/>
    <row r="22" s="1" customFormat="1" x14ac:dyDescent="0.35"/>
    <row r="23" s="1" customFormat="1" x14ac:dyDescent="0.35"/>
    <row r="24" s="1" customFormat="1" x14ac:dyDescent="0.35"/>
    <row r="25" s="1" customFormat="1" x14ac:dyDescent="0.35"/>
    <row r="26" s="1" customFormat="1" x14ac:dyDescent="0.35"/>
    <row r="27" s="1" customFormat="1" x14ac:dyDescent="0.35"/>
    <row r="28" s="1" customFormat="1" x14ac:dyDescent="0.35"/>
    <row r="29" s="1" customFormat="1" x14ac:dyDescent="0.35"/>
    <row r="30" s="1" customFormat="1" x14ac:dyDescent="0.35"/>
    <row r="31" s="1" customFormat="1" x14ac:dyDescent="0.35"/>
    <row r="32" s="1" customFormat="1" x14ac:dyDescent="0.35"/>
    <row r="33" s="1" customFormat="1" x14ac:dyDescent="0.35"/>
    <row r="34" s="1" customFormat="1" x14ac:dyDescent="0.35"/>
    <row r="35" s="1" customFormat="1" x14ac:dyDescent="0.35"/>
    <row r="36" s="1" customFormat="1" x14ac:dyDescent="0.35"/>
    <row r="37" s="1" customFormat="1" x14ac:dyDescent="0.35"/>
    <row r="38" s="1" customFormat="1" x14ac:dyDescent="0.35"/>
    <row r="39" s="1" customFormat="1" x14ac:dyDescent="0.35"/>
    <row r="40" s="1" customFormat="1" x14ac:dyDescent="0.35"/>
    <row r="41" s="1" customFormat="1" x14ac:dyDescent="0.35"/>
    <row r="42" s="1" customFormat="1" x14ac:dyDescent="0.35"/>
    <row r="43" s="1" customFormat="1" x14ac:dyDescent="0.35"/>
    <row r="44" s="1" customFormat="1" x14ac:dyDescent="0.35"/>
    <row r="45" s="1" customFormat="1" x14ac:dyDescent="0.35"/>
    <row r="46" s="1" customFormat="1" x14ac:dyDescent="0.35"/>
    <row r="47" s="1" customFormat="1" x14ac:dyDescent="0.35"/>
    <row r="48" s="1" customFormat="1" x14ac:dyDescent="0.35"/>
    <row r="49" s="1" customFormat="1" x14ac:dyDescent="0.35"/>
    <row r="50" s="1" customFormat="1" x14ac:dyDescent="0.35"/>
    <row r="51" s="1" customFormat="1" x14ac:dyDescent="0.35"/>
    <row r="52" s="1" customFormat="1" x14ac:dyDescent="0.35"/>
    <row r="53" s="1" customFormat="1" x14ac:dyDescent="0.35"/>
    <row r="54" s="1" customFormat="1" x14ac:dyDescent="0.35"/>
    <row r="55" s="1" customFormat="1" x14ac:dyDescent="0.35"/>
    <row r="56" s="1" customFormat="1" x14ac:dyDescent="0.35"/>
    <row r="57" s="1" customFormat="1" x14ac:dyDescent="0.35"/>
    <row r="58" s="1" customFormat="1" x14ac:dyDescent="0.35"/>
    <row r="59" s="1" customFormat="1" x14ac:dyDescent="0.35"/>
    <row r="60" s="1" customFormat="1" x14ac:dyDescent="0.35"/>
    <row r="61" s="1" customFormat="1" x14ac:dyDescent="0.35"/>
    <row r="62" s="1" customFormat="1" x14ac:dyDescent="0.35"/>
    <row r="63" s="1" customFormat="1" x14ac:dyDescent="0.35"/>
  </sheetData>
  <sheetProtection selectLockedCells="1"/>
  <protectedRanges>
    <protectedRange algorithmName="SHA-512" hashValue="TPfBzyy8w360BKyANsEx29fgW03lVgLbP1VmGswWa++XGSClzF8otI+He4o7wfW5K8uKa3Z9Tbh6hgjQRlBQXA==" saltValue="bpeLNBzxiL29Mi8dQX2RBQ==" spinCount="100000" sqref="D4 A3:D3 A1 A5:D7" name="Range2_1"/>
    <protectedRange sqref="A4:C4" name="Range1_1"/>
  </protectedRanges>
  <mergeCells count="2">
    <mergeCell ref="A1:D2"/>
    <mergeCell ref="C5:D6"/>
  </mergeCells>
  <conditionalFormatting sqref="D9">
    <cfRule type="cellIs" dxfId="0" priority="1" operator="greaterThanOrEqual">
      <formula>180</formula>
    </cfRule>
  </conditionalFormatting>
  <hyperlinks>
    <hyperlink ref="B9" r:id="rId1" xr:uid="{6AE9279E-D641-4299-AB5D-B90D91E48849}"/>
  </hyperlinks>
  <pageMargins left="0.7" right="0.7" top="0.75" bottom="0.75" header="0.3" footer="0.3"/>
  <pageSetup scale="51" orientation="portrait" r:id="rId2"/>
  <drawing r:id="rId3"/>
  <legacy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be92b9e-3ee8-4c59-8801-fdd054f21216" xsi:nil="true"/>
    <_ip_UnifiedCompliancePolicyProperties xmlns="http://schemas.microsoft.com/sharepoint/v3" xsi:nil="true"/>
    <_ip_UnifiedCompliancePolicyUIAction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CBA6663A565E4F90BDD70BA26F8BB9" ma:contentTypeVersion="11" ma:contentTypeDescription="Create a new document." ma:contentTypeScope="" ma:versionID="9a10419609c922be2e1004e82d2db0b8">
  <xsd:schema xmlns:xsd="http://www.w3.org/2001/XMLSchema" xmlns:xs="http://www.w3.org/2001/XMLSchema" xmlns:p="http://schemas.microsoft.com/office/2006/metadata/properties" xmlns:ns1="http://schemas.microsoft.com/sharepoint/v3" xmlns:ns3="3be92b9e-3ee8-4c59-8801-fdd054f21216" targetNamespace="http://schemas.microsoft.com/office/2006/metadata/properties" ma:root="true" ma:fieldsID="16c6357c00879a127ab54bde11941d74" ns1:_="" ns3:_="">
    <xsd:import namespace="http://schemas.microsoft.com/sharepoint/v3"/>
    <xsd:import namespace="3be92b9e-3ee8-4c59-8801-fdd054f21216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1:_ip_UnifiedCompliancePolicyProperties" minOccurs="0"/>
                <xsd:element ref="ns1:_ip_UnifiedCompliancePolicyUIActio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3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4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92b9e-3ee8-4c59-8801-fdd054f21216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5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D134B5C-DD5C-48BE-915A-9D9C478AD811}">
  <ds:schemaRefs>
    <ds:schemaRef ds:uri="http://schemas.microsoft.com/sharepoint/v3"/>
    <ds:schemaRef ds:uri="http://www.w3.org/XML/1998/namespace"/>
    <ds:schemaRef ds:uri="http://purl.org/dc/terms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3be92b9e-3ee8-4c59-8801-fdd054f21216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5DB253EB-CAD3-4E06-84BE-906294760C7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E013E2A-EBA9-4E64-8846-22A9FCEAA6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3be92b9e-3ee8-4c59-8801-fdd054f212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37adc8ff-f4a3-4a14-9c0d-84b4985de0d2}" enabled="1" method="Privileged" siteId="{8331b18d-2d87-48ef-a35f-ac8818ebf9b4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Terminal Leave</vt:lpstr>
    </vt:vector>
  </TitlesOfParts>
  <Manager/>
  <Company>U.S. Department of Defense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SPAETHE, SAMUEL P SSgt USAF AFSOC 1 SOCPTS/FMF</dc:creator>
  <cp:keywords/>
  <dc:description/>
  <cp:lastModifiedBy>MATOS RODRIGUEZ, PEDRO J MSgt USAF ACC 347 OSS/CCF</cp:lastModifiedBy>
  <cp:revision/>
  <cp:lastPrinted>2023-01-18T14:28:14Z</cp:lastPrinted>
  <dcterms:created xsi:type="dcterms:W3CDTF">2018-06-12T18:27:51Z</dcterms:created>
  <dcterms:modified xsi:type="dcterms:W3CDTF">2026-10-25T12:59:14Z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0x0101003BCBA6663A565E4F90BDD70BA26F8BB9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SV_HIDDEN_GRID_QUERY_LIST_4F35BF76-6C0D-4D9B-82B2-816C12CF3733">
    <vt:lpwstr>empty_477D106A-C0D6-4607-AEBD-E2C9D60EA279</vt:lpwstr>
  </property>
  <property fmtid="{D5CDD505-2E9C-101B-9397-08002B2CF9AE}" pid="5" name="_dlc_DocIdItemGuid">
    <vt:lpwstr>a2839d04-0fd1-44e9-9a7b-67347246887a</vt:lpwstr>
  </property>
  <property fmtid="{D5CDD505-2E9C-101B-9397-08002B2CF9AE}" pid="6" name="Order">
    <vt:r8>1200</vt:r8>
  </property>
</Properties>
</file>